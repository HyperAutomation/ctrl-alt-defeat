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Test Object</t>
        </is>
      </c>
      <c r="B1" s="1" t="inlineStr">
        <is>
          <t>Function Points</t>
        </is>
      </c>
      <c r="C1" s="1" t="inlineStr">
        <is>
          <t>T-Shirt Size</t>
        </is>
      </c>
      <c r="D1" s="1" t="inlineStr">
        <is>
          <t>Ideal Hours</t>
        </is>
      </c>
      <c r="E1" s="1" t="inlineStr">
        <is>
          <t>Confidence %</t>
        </is>
      </c>
      <c r="F1" s="1" t="inlineStr">
        <is>
          <t>Notes</t>
        </is>
      </c>
    </row>
    <row r="2">
      <c r="A2" s="2" t="inlineStr">
        <is>
          <t>TO-001 Artefact Detector</t>
        </is>
      </c>
      <c r="B2" s="2" t="inlineStr">
        <is>
          <t>13</t>
        </is>
      </c>
      <c r="C2" s="2" t="inlineStr">
        <is>
          <t>M</t>
        </is>
      </c>
      <c r="D2" s="2" t="inlineStr">
        <is>
          <t>21</t>
        </is>
      </c>
      <c r="E2" s="2" t="inlineStr">
        <is>
          <t>85</t>
        </is>
      </c>
      <c r="F2" s="2" t="inlineStr">
        <is>
          <t>BVA + scenarios</t>
        </is>
      </c>
    </row>
    <row r="3">
      <c r="A3" s="2" t="inlineStr">
        <is>
          <t>TO-002 Coverage Matrix</t>
        </is>
      </c>
      <c r="B3" s="2" t="inlineStr">
        <is>
          <t>15</t>
        </is>
      </c>
      <c r="C3" s="2" t="inlineStr">
        <is>
          <t>L</t>
        </is>
      </c>
      <c r="D3" s="2" t="inlineStr">
        <is>
          <t>26</t>
        </is>
      </c>
      <c r="E3" s="2" t="inlineStr">
        <is>
          <t>80</t>
        </is>
      </c>
      <c r="F3" s="2" t="inlineStr">
        <is>
          <t>Load tested</t>
        </is>
      </c>
    </row>
    <row r="4">
      <c r="A4" s="2" t="inlineStr">
        <is>
          <t>TO-003 AI Flag Narrative</t>
        </is>
      </c>
      <c r="B4" s="2" t="inlineStr">
        <is>
          <t>11</t>
        </is>
      </c>
      <c r="C4" s="2" t="inlineStr">
        <is>
          <t>M</t>
        </is>
      </c>
      <c r="D4" s="2" t="inlineStr">
        <is>
          <t>18</t>
        </is>
      </c>
      <c r="E4" s="2" t="inlineStr">
        <is>
          <t>75</t>
        </is>
      </c>
      <c r="F4" s="2" t="inlineStr">
        <is>
          <t>Domain-expert review</t>
        </is>
      </c>
    </row>
    <row r="5">
      <c r="A5" s="2" t="inlineStr">
        <is>
          <t>TO-004 Classification Boundary</t>
        </is>
      </c>
      <c r="B5" s="2" t="inlineStr">
        <is>
          <t>14</t>
        </is>
      </c>
      <c r="C5" s="2" t="inlineStr">
        <is>
          <t>L</t>
        </is>
      </c>
      <c r="D5" s="2" t="inlineStr">
        <is>
          <t>24</t>
        </is>
      </c>
      <c r="E5" s="2" t="inlineStr">
        <is>
          <t>85</t>
        </is>
      </c>
      <c r="F5" s="2" t="inlineStr">
        <is>
          <t>Security fuzzing</t>
        </is>
      </c>
    </row>
    <row r="6">
      <c r="A6" s="2" t="inlineStr">
        <is>
          <t>TO-005 Audit Ledger</t>
        </is>
      </c>
      <c r="B6" s="2" t="inlineStr">
        <is>
          <t>12</t>
        </is>
      </c>
      <c r="C6" s="2" t="inlineStr">
        <is>
          <t>M</t>
        </is>
      </c>
      <c r="D6" s="2" t="inlineStr">
        <is>
          <t>20</t>
        </is>
      </c>
      <c r="E6" s="2" t="inlineStr">
        <is>
          <t>90</t>
        </is>
      </c>
      <c r="F6" s="2" t="inlineStr">
        <is>
          <t>State-machine testing</t>
        </is>
      </c>
    </row>
    <row r="7">
      <c r="A7" s="2" t="inlineStr">
        <is>
          <t>F01-F10 Applicant Journey</t>
        </is>
      </c>
      <c r="B7" s="2" t="inlineStr">
        <is>
          <t>45</t>
        </is>
      </c>
      <c r="C7" s="2" t="inlineStr">
        <is>
          <t>XL</t>
        </is>
      </c>
      <c r="D7" s="2" t="inlineStr">
        <is>
          <t>78</t>
        </is>
      </c>
      <c r="E7" s="2" t="inlineStr">
        <is>
          <t>80</t>
        </is>
      </c>
      <c r="F7" s="2" t="inlineStr">
        <is>
          <t>Use-case + exploratory</t>
        </is>
      </c>
    </row>
    <row r="8">
      <c r="A8" s="2" t="inlineStr">
        <is>
          <t>F11-F20 Regulator Review</t>
        </is>
      </c>
      <c r="B8" s="2" t="inlineStr">
        <is>
          <t>50</t>
        </is>
      </c>
      <c r="C8" s="2" t="inlineStr">
        <is>
          <t>XL</t>
        </is>
      </c>
      <c r="D8" s="2" t="inlineStr">
        <is>
          <t>86</t>
        </is>
      </c>
      <c r="E8" s="2" t="inlineStr">
        <is>
          <t>75</t>
        </is>
      </c>
      <c r="F8" s="2" t="inlineStr">
        <is>
          <t>Panel scenarios</t>
        </is>
      </c>
    </row>
    <row r="9">
      <c r="A9" s="2" t="inlineStr">
        <is>
          <t>F21-F30 Decision Export</t>
        </is>
      </c>
      <c r="B9" s="2" t="inlineStr">
        <is>
          <t>35</t>
        </is>
      </c>
      <c r="C9" s="2" t="inlineStr">
        <is>
          <t>L</t>
        </is>
      </c>
      <c r="D9" s="2" t="inlineStr">
        <is>
          <t>60</t>
        </is>
      </c>
      <c r="E9" s="2" t="inlineStr">
        <is>
          <t>85</t>
        </is>
      </c>
      <c r="F9" s="2" t="inlineStr">
        <is>
          <t>Compliance-driven</t>
        </is>
      </c>
    </row>
    <row r="10">
      <c r="A10" s="2" t="inlineStr">
        <is>
          <t>K1-K8 Keystones</t>
        </is>
      </c>
      <c r="B10" s="2" t="inlineStr">
        <is>
          <t>80</t>
        </is>
      </c>
      <c r="C10" s="2" t="inlineStr">
        <is>
          <t>XXL</t>
        </is>
      </c>
      <c r="D10" s="2" t="inlineStr">
        <is>
          <t>140</t>
        </is>
      </c>
      <c r="E10" s="2" t="inlineStr">
        <is>
          <t>70</t>
        </is>
      </c>
      <c r="F10" s="2" t="inlineStr">
        <is>
          <t>Safety-critical</t>
        </is>
      </c>
    </row>
    <row r="11">
      <c r="A11" s="2" t="inlineStr">
        <is>
          <t>Integration Pairs (20x)</t>
        </is>
      </c>
      <c r="B11" s="2" t="inlineStr">
        <is>
          <t>60</t>
        </is>
      </c>
      <c r="C11" s="2" t="inlineStr">
        <is>
          <t>L</t>
        </is>
      </c>
      <c r="D11" s="2" t="inlineStr">
        <is>
          <t>104</t>
        </is>
      </c>
      <c r="E11" s="2" t="inlineStr">
        <is>
          <t>80</t>
        </is>
      </c>
      <c r="F11" s="2" t="inlineStr">
        <is>
          <t>API contracts</t>
        </is>
      </c>
    </row>
    <row r="12">
      <c r="A12" s="2" t="inlineStr">
        <is>
          <t>Performance Tests</t>
        </is>
      </c>
      <c r="B12" s="2" t="inlineStr">
        <is>
          <t>40</t>
        </is>
      </c>
      <c r="C12" s="2" t="inlineStr">
        <is>
          <t>L</t>
        </is>
      </c>
      <c r="D12" s="2" t="inlineStr">
        <is>
          <t>70</t>
        </is>
      </c>
      <c r="E12" s="2" t="inlineStr">
        <is>
          <t>75</t>
        </is>
      </c>
      <c r="F12" s="2" t="inlineStr">
        <is>
          <t>Cerf PE Gates</t>
        </is>
      </c>
    </row>
    <row r="13">
      <c r="A13" s="2" t="inlineStr">
        <is>
          <t>Security &amp; A11y</t>
        </is>
      </c>
      <c r="B13" s="2" t="inlineStr">
        <is>
          <t>35</t>
        </is>
      </c>
      <c r="C13" s="2" t="inlineStr">
        <is>
          <t>M</t>
        </is>
      </c>
      <c r="D13" s="2" t="inlineStr">
        <is>
          <t>60</t>
        </is>
      </c>
      <c r="E13" s="2" t="inlineStr">
        <is>
          <t>80</t>
        </is>
      </c>
      <c r="F13" s="2" t="inlineStr">
        <is>
          <t>Standards audit</t>
        </is>
      </c>
    </row>
    <row r="14">
      <c r="A14" s="2" t="inlineStr">
        <is>
          <t>Regression Pack</t>
        </is>
      </c>
      <c r="B14" s="2" t="inlineStr">
        <is>
          <t>25</t>
        </is>
      </c>
      <c r="C14" s="2" t="inlineStr">
        <is>
          <t>M</t>
        </is>
      </c>
      <c r="D14" s="2" t="inlineStr">
        <is>
          <t>43</t>
        </is>
      </c>
      <c r="E14" s="2" t="inlineStr">
        <is>
          <t>85</t>
        </is>
      </c>
      <c r="F14" s="2" t="inlineStr">
        <is>
          <t>Smoke suite</t>
        </is>
      </c>
    </row>
    <row r="15">
      <c r="A15" s="2" t="inlineStr">
        <is>
          <t>UAT Scripts</t>
        </is>
      </c>
      <c r="B15" s="2" t="inlineStr">
        <is>
          <t>30</t>
        </is>
      </c>
      <c r="C15" s="2" t="inlineStr">
        <is>
          <t>M</t>
        </is>
      </c>
      <c r="D15" s="2" t="inlineStr">
        <is>
          <t>52</t>
        </is>
      </c>
      <c r="E15" s="2" t="inlineStr">
        <is>
          <t>80</t>
        </is>
      </c>
      <c r="F15" s="2" t="inlineStr">
        <is>
          <t>User journeys</t>
        </is>
      </c>
    </row>
    <row r="16">
      <c r="A16" s="2" t="inlineStr">
        <is>
          <t>Root Cause Analysis</t>
        </is>
      </c>
      <c r="B16" s="2" t="inlineStr">
        <is>
          <t>20</t>
        </is>
      </c>
      <c r="C16" s="2" t="inlineStr">
        <is>
          <t>S</t>
        </is>
      </c>
      <c r="D16" s="2" t="inlineStr">
        <is>
          <t>35</t>
        </is>
      </c>
      <c r="E16" s="2" t="inlineStr">
        <is>
          <t>85</t>
        </is>
      </c>
      <c r="F16" s="2" t="inlineStr">
        <is>
          <t>Post-test</t>
        </is>
      </c>
    </row>
    <row r="17">
      <c r="A17" s="2" t="inlineStr">
        <is>
          <t>TOTAL</t>
        </is>
      </c>
      <c r="B17" s="2">
        <f>SUM(B2:B16)</f>
        <v/>
      </c>
      <c r="C17" s="2" t="inlineStr"/>
      <c r="D17" s="2">
        <f>SUM(D2:D16)</f>
        <v/>
      </c>
      <c r="E17" s="2">
        <f>AVERAGE(E2:E16)</f>
        <v/>
      </c>
      <c r="F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