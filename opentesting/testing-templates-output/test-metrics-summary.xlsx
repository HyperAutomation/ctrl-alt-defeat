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Week</t>
        </is>
      </c>
      <c r="B1" s="1" t="inlineStr">
        <is>
          <t>Test Count</t>
        </is>
      </c>
      <c r="C1" s="1" t="inlineStr">
        <is>
          <t>Pass %</t>
        </is>
      </c>
      <c r="D1" s="1" t="inlineStr">
        <is>
          <t>Defect Rate</t>
        </is>
      </c>
      <c r="E1" s="1" t="inlineStr">
        <is>
          <t>Coverage %</t>
        </is>
      </c>
      <c r="F1" s="1" t="inlineStr">
        <is>
          <t>MTTR (h)</t>
        </is>
      </c>
      <c r="G1" s="1" t="inlineStr">
        <is>
          <t>Flake %</t>
        </is>
      </c>
    </row>
    <row r="2">
      <c r="A2" s="2" t="inlineStr">
        <is>
          <t>Wk 1</t>
        </is>
      </c>
      <c r="B2" s="2">
        <f>5</f>
        <v/>
      </c>
      <c r="C2" s="2" t="inlineStr">
        <is>
          <t>95.5%</t>
        </is>
      </c>
      <c r="D2" s="2" t="inlineStr">
        <is>
          <t>9.7%</t>
        </is>
      </c>
      <c r="E2" s="2" t="inlineStr">
        <is>
          <t>31.5%</t>
        </is>
      </c>
      <c r="F2" s="2" t="inlineStr">
        <is>
          <t>23.5</t>
        </is>
      </c>
      <c r="G2" s="2" t="inlineStr">
        <is>
          <t>2.9%</t>
        </is>
      </c>
    </row>
    <row r="3">
      <c r="A3" s="2" t="inlineStr">
        <is>
          <t>Wk 2</t>
        </is>
      </c>
      <c r="B3" s="2">
        <f>10</f>
        <v/>
      </c>
      <c r="C3" s="2" t="inlineStr">
        <is>
          <t>96.0%</t>
        </is>
      </c>
      <c r="D3" s="2" t="inlineStr">
        <is>
          <t>9.4%</t>
        </is>
      </c>
      <c r="E3" s="2" t="inlineStr">
        <is>
          <t>33.0%</t>
        </is>
      </c>
      <c r="F3" s="2" t="inlineStr">
        <is>
          <t>23.0</t>
        </is>
      </c>
      <c r="G3" s="2" t="inlineStr">
        <is>
          <t>2.8%</t>
        </is>
      </c>
    </row>
    <row r="4">
      <c r="A4" s="2" t="inlineStr">
        <is>
          <t>Wk 3</t>
        </is>
      </c>
      <c r="B4" s="2">
        <f>15</f>
        <v/>
      </c>
      <c r="C4" s="2" t="inlineStr">
        <is>
          <t>96.5%</t>
        </is>
      </c>
      <c r="D4" s="2" t="inlineStr">
        <is>
          <t>9.1%</t>
        </is>
      </c>
      <c r="E4" s="2" t="inlineStr">
        <is>
          <t>34.5%</t>
        </is>
      </c>
      <c r="F4" s="2" t="inlineStr">
        <is>
          <t>22.5</t>
        </is>
      </c>
      <c r="G4" s="2" t="inlineStr">
        <is>
          <t>2.7%</t>
        </is>
      </c>
    </row>
    <row r="5">
      <c r="A5" s="2" t="inlineStr">
        <is>
          <t>Wk 4</t>
        </is>
      </c>
      <c r="B5" s="2">
        <f>20</f>
        <v/>
      </c>
      <c r="C5" s="2" t="inlineStr">
        <is>
          <t>97.0%</t>
        </is>
      </c>
      <c r="D5" s="2" t="inlineStr">
        <is>
          <t>8.8%</t>
        </is>
      </c>
      <c r="E5" s="2" t="inlineStr">
        <is>
          <t>36.0%</t>
        </is>
      </c>
      <c r="F5" s="2" t="inlineStr">
        <is>
          <t>22.0</t>
        </is>
      </c>
      <c r="G5" s="2" t="inlineStr">
        <is>
          <t>2.6%</t>
        </is>
      </c>
    </row>
    <row r="6">
      <c r="A6" s="2" t="inlineStr">
        <is>
          <t>Wk 5</t>
        </is>
      </c>
      <c r="B6" s="2">
        <f>25</f>
        <v/>
      </c>
      <c r="C6" s="2" t="inlineStr">
        <is>
          <t>97.5%</t>
        </is>
      </c>
      <c r="D6" s="2" t="inlineStr">
        <is>
          <t>8.5%</t>
        </is>
      </c>
      <c r="E6" s="2" t="inlineStr">
        <is>
          <t>37.5%</t>
        </is>
      </c>
      <c r="F6" s="2" t="inlineStr">
        <is>
          <t>21.5</t>
        </is>
      </c>
      <c r="G6" s="2" t="inlineStr">
        <is>
          <t>2.5%</t>
        </is>
      </c>
    </row>
    <row r="7">
      <c r="A7" s="2" t="inlineStr">
        <is>
          <t>Wk 6</t>
        </is>
      </c>
      <c r="B7" s="2">
        <f>30</f>
        <v/>
      </c>
      <c r="C7" s="2" t="inlineStr">
        <is>
          <t>98.0%</t>
        </is>
      </c>
      <c r="D7" s="2" t="inlineStr">
        <is>
          <t>8.2%</t>
        </is>
      </c>
      <c r="E7" s="2" t="inlineStr">
        <is>
          <t>39.0%</t>
        </is>
      </c>
      <c r="F7" s="2" t="inlineStr">
        <is>
          <t>21.0</t>
        </is>
      </c>
      <c r="G7" s="2" t="inlineStr">
        <is>
          <t>2.4%</t>
        </is>
      </c>
    </row>
    <row r="8">
      <c r="A8" s="2" t="inlineStr">
        <is>
          <t>Wk 7</t>
        </is>
      </c>
      <c r="B8" s="2">
        <f>35</f>
        <v/>
      </c>
      <c r="C8" s="2" t="inlineStr">
        <is>
          <t>98.5%</t>
        </is>
      </c>
      <c r="D8" s="2" t="inlineStr">
        <is>
          <t>7.9%</t>
        </is>
      </c>
      <c r="E8" s="2" t="inlineStr">
        <is>
          <t>40.5%</t>
        </is>
      </c>
      <c r="F8" s="2" t="inlineStr">
        <is>
          <t>20.5</t>
        </is>
      </c>
      <c r="G8" s="2" t="inlineStr">
        <is>
          <t>2.3%</t>
        </is>
      </c>
    </row>
    <row r="9">
      <c r="A9" s="2" t="inlineStr">
        <is>
          <t>Wk 8</t>
        </is>
      </c>
      <c r="B9" s="2">
        <f>40</f>
        <v/>
      </c>
      <c r="C9" s="2" t="inlineStr">
        <is>
          <t>99.0%</t>
        </is>
      </c>
      <c r="D9" s="2" t="inlineStr">
        <is>
          <t>7.6%</t>
        </is>
      </c>
      <c r="E9" s="2" t="inlineStr">
        <is>
          <t>42.0%</t>
        </is>
      </c>
      <c r="F9" s="2" t="inlineStr">
        <is>
          <t>20.0</t>
        </is>
      </c>
      <c r="G9" s="2" t="inlineStr">
        <is>
          <t>2.2%</t>
        </is>
      </c>
    </row>
    <row r="10">
      <c r="A10" s="2" t="inlineStr">
        <is>
          <t>Wk 9</t>
        </is>
      </c>
      <c r="B10" s="2">
        <f>45</f>
        <v/>
      </c>
      <c r="C10" s="2" t="inlineStr">
        <is>
          <t>99.0%</t>
        </is>
      </c>
      <c r="D10" s="2" t="inlineStr">
        <is>
          <t>7.3%</t>
        </is>
      </c>
      <c r="E10" s="2" t="inlineStr">
        <is>
          <t>43.5%</t>
        </is>
      </c>
      <c r="F10" s="2" t="inlineStr">
        <is>
          <t>19.5</t>
        </is>
      </c>
      <c r="G10" s="2" t="inlineStr">
        <is>
          <t>2.1%</t>
        </is>
      </c>
    </row>
    <row r="11">
      <c r="A11" s="2" t="inlineStr">
        <is>
          <t>Wk 10</t>
        </is>
      </c>
      <c r="B11" s="2">
        <f>50</f>
        <v/>
      </c>
      <c r="C11" s="2" t="inlineStr">
        <is>
          <t>99.0%</t>
        </is>
      </c>
      <c r="D11" s="2" t="inlineStr">
        <is>
          <t>7.0%</t>
        </is>
      </c>
      <c r="E11" s="2" t="inlineStr">
        <is>
          <t>45.0%</t>
        </is>
      </c>
      <c r="F11" s="2" t="inlineStr">
        <is>
          <t>19.0</t>
        </is>
      </c>
      <c r="G11" s="2" t="inlineStr">
        <is>
          <t>2.0%</t>
        </is>
      </c>
    </row>
    <row r="12">
      <c r="A12" s="2" t="inlineStr">
        <is>
          <t>Wk 11</t>
        </is>
      </c>
      <c r="B12" s="2">
        <f>55</f>
        <v/>
      </c>
      <c r="C12" s="2" t="inlineStr">
        <is>
          <t>99.0%</t>
        </is>
      </c>
      <c r="D12" s="2" t="inlineStr">
        <is>
          <t>6.7%</t>
        </is>
      </c>
      <c r="E12" s="2" t="inlineStr">
        <is>
          <t>46.5%</t>
        </is>
      </c>
      <c r="F12" s="2" t="inlineStr">
        <is>
          <t>18.5</t>
        </is>
      </c>
      <c r="G12" s="2" t="inlineStr">
        <is>
          <t>1.9%</t>
        </is>
      </c>
    </row>
    <row r="13">
      <c r="A13" s="2" t="inlineStr">
        <is>
          <t>Wk 12</t>
        </is>
      </c>
      <c r="B13" s="2">
        <f>60</f>
        <v/>
      </c>
      <c r="C13" s="2" t="inlineStr">
        <is>
          <t>99.0%</t>
        </is>
      </c>
      <c r="D13" s="2" t="inlineStr">
        <is>
          <t>6.4%</t>
        </is>
      </c>
      <c r="E13" s="2" t="inlineStr">
        <is>
          <t>48.0%</t>
        </is>
      </c>
      <c r="F13" s="2" t="inlineStr">
        <is>
          <t>18.0</t>
        </is>
      </c>
      <c r="G13" s="2" t="inlineStr">
        <is>
          <t>1.8%</t>
        </is>
      </c>
    </row>
    <row r="14">
      <c r="A14" s="2" t="inlineStr">
        <is>
          <t>Wk 13</t>
        </is>
      </c>
      <c r="B14" s="2">
        <f>65</f>
        <v/>
      </c>
      <c r="C14" s="2" t="inlineStr">
        <is>
          <t>99.0%</t>
        </is>
      </c>
      <c r="D14" s="2" t="inlineStr">
        <is>
          <t>6.1%</t>
        </is>
      </c>
      <c r="E14" s="2" t="inlineStr">
        <is>
          <t>49.5%</t>
        </is>
      </c>
      <c r="F14" s="2" t="inlineStr">
        <is>
          <t>17.5</t>
        </is>
      </c>
      <c r="G14" s="2" t="inlineStr">
        <is>
          <t>1.7%</t>
        </is>
      </c>
    </row>
    <row r="15">
      <c r="A15" s="2" t="inlineStr">
        <is>
          <t>Wk 14</t>
        </is>
      </c>
      <c r="B15" s="2">
        <f>70</f>
        <v/>
      </c>
      <c r="C15" s="2" t="inlineStr">
        <is>
          <t>99.0%</t>
        </is>
      </c>
      <c r="D15" s="2" t="inlineStr">
        <is>
          <t>5.8%</t>
        </is>
      </c>
      <c r="E15" s="2" t="inlineStr">
        <is>
          <t>51.0%</t>
        </is>
      </c>
      <c r="F15" s="2" t="inlineStr">
        <is>
          <t>17.0</t>
        </is>
      </c>
      <c r="G15" s="2" t="inlineStr">
        <is>
          <t>1.6%</t>
        </is>
      </c>
    </row>
    <row r="16">
      <c r="A16" s="2" t="inlineStr">
        <is>
          <t>Wk 15</t>
        </is>
      </c>
      <c r="B16" s="2">
        <f>75</f>
        <v/>
      </c>
      <c r="C16" s="2" t="inlineStr">
        <is>
          <t>99.0%</t>
        </is>
      </c>
      <c r="D16" s="2" t="inlineStr">
        <is>
          <t>5.5%</t>
        </is>
      </c>
      <c r="E16" s="2" t="inlineStr">
        <is>
          <t>52.5%</t>
        </is>
      </c>
      <c r="F16" s="2" t="inlineStr">
        <is>
          <t>16.5</t>
        </is>
      </c>
      <c r="G16" s="2" t="inlineStr">
        <is>
          <t>1.5%</t>
        </is>
      </c>
    </row>
    <row r="17">
      <c r="A17" s="2" t="inlineStr">
        <is>
          <t>Wk 16</t>
        </is>
      </c>
      <c r="B17" s="2">
        <f>80</f>
        <v/>
      </c>
      <c r="C17" s="2" t="inlineStr">
        <is>
          <t>99.0%</t>
        </is>
      </c>
      <c r="D17" s="2" t="inlineStr">
        <is>
          <t>5.2%</t>
        </is>
      </c>
      <c r="E17" s="2" t="inlineStr">
        <is>
          <t>54.0%</t>
        </is>
      </c>
      <c r="F17" s="2" t="inlineStr">
        <is>
          <t>16.0</t>
        </is>
      </c>
      <c r="G17" s="2" t="inlineStr">
        <is>
          <t>1.4%</t>
        </is>
      </c>
    </row>
    <row r="18">
      <c r="A18" s="2" t="inlineStr">
        <is>
          <t>Wk 17</t>
        </is>
      </c>
      <c r="B18" s="2">
        <f>85</f>
        <v/>
      </c>
      <c r="C18" s="2" t="inlineStr">
        <is>
          <t>99.0%</t>
        </is>
      </c>
      <c r="D18" s="2" t="inlineStr">
        <is>
          <t>4.9%</t>
        </is>
      </c>
      <c r="E18" s="2" t="inlineStr">
        <is>
          <t>55.5%</t>
        </is>
      </c>
      <c r="F18" s="2" t="inlineStr">
        <is>
          <t>15.5</t>
        </is>
      </c>
      <c r="G18" s="2" t="inlineStr">
        <is>
          <t>1.3%</t>
        </is>
      </c>
    </row>
    <row r="19">
      <c r="A19" s="2" t="inlineStr">
        <is>
          <t>Wk 18</t>
        </is>
      </c>
      <c r="B19" s="2">
        <f>90</f>
        <v/>
      </c>
      <c r="C19" s="2" t="inlineStr">
        <is>
          <t>99.0%</t>
        </is>
      </c>
      <c r="D19" s="2" t="inlineStr">
        <is>
          <t>4.6%</t>
        </is>
      </c>
      <c r="E19" s="2" t="inlineStr">
        <is>
          <t>57.0%</t>
        </is>
      </c>
      <c r="F19" s="2" t="inlineStr">
        <is>
          <t>15.0</t>
        </is>
      </c>
      <c r="G19" s="2" t="inlineStr">
        <is>
          <t>1.2%</t>
        </is>
      </c>
    </row>
    <row r="20">
      <c r="A20" s="2" t="inlineStr">
        <is>
          <t>Wk 19</t>
        </is>
      </c>
      <c r="B20" s="2">
        <f>95</f>
        <v/>
      </c>
      <c r="C20" s="2" t="inlineStr">
        <is>
          <t>99.0%</t>
        </is>
      </c>
      <c r="D20" s="2" t="inlineStr">
        <is>
          <t>4.3%</t>
        </is>
      </c>
      <c r="E20" s="2" t="inlineStr">
        <is>
          <t>58.5%</t>
        </is>
      </c>
      <c r="F20" s="2" t="inlineStr">
        <is>
          <t>14.5</t>
        </is>
      </c>
      <c r="G20" s="2" t="inlineStr">
        <is>
          <t>1.1%</t>
        </is>
      </c>
    </row>
    <row r="21">
      <c r="A21" s="2" t="inlineStr">
        <is>
          <t>Wk 20</t>
        </is>
      </c>
      <c r="B21" s="2">
        <f>100</f>
        <v/>
      </c>
      <c r="C21" s="2" t="inlineStr">
        <is>
          <t>99.0%</t>
        </is>
      </c>
      <c r="D21" s="2" t="inlineStr">
        <is>
          <t>4.0%</t>
        </is>
      </c>
      <c r="E21" s="2" t="inlineStr">
        <is>
          <t>60.0%</t>
        </is>
      </c>
      <c r="F21" s="2" t="inlineStr">
        <is>
          <t>14.0</t>
        </is>
      </c>
      <c r="G21" s="2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