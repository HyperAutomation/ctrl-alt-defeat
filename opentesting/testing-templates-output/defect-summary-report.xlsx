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2" customWidth="1" min="4" max="4"/>
    <col width="12" customWidth="1" min="5" max="5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Component</t>
        </is>
      </c>
    </row>
    <row r="2">
      <c r="A2" s="2" t="inlineStr">
        <is>
          <t>BUG-001</t>
        </is>
      </c>
      <c r="B2" s="2" t="inlineStr">
        <is>
          <t>CRITICAL</t>
        </is>
      </c>
      <c r="C2" s="2" t="inlineStr">
        <is>
          <t>Pack parser crashes on empty XLSX</t>
        </is>
      </c>
      <c r="D2" s="2" t="inlineStr">
        <is>
          <t>FIXED</t>
        </is>
      </c>
      <c r="E2" s="2" t="inlineStr">
        <is>
          <t>Artefact Detector</t>
        </is>
      </c>
    </row>
    <row r="3">
      <c r="A3" s="2" t="inlineStr">
        <is>
          <t>BUG-002</t>
        </is>
      </c>
      <c r="B3" s="2" t="inlineStr">
        <is>
          <t>CRITICAL</t>
        </is>
      </c>
      <c r="C3" s="2" t="inlineStr">
        <is>
          <t>K1 geofence bypass via malformed GeoJSON</t>
        </is>
      </c>
      <c r="D3" s="2" t="inlineStr">
        <is>
          <t>FIXED</t>
        </is>
      </c>
      <c r="E3" s="2" t="inlineStr">
        <is>
          <t>Keystone K1</t>
        </is>
      </c>
    </row>
    <row r="4">
      <c r="A4" s="2" t="inlineStr">
        <is>
          <t>BUG-003</t>
        </is>
      </c>
      <c r="B4" s="2" t="inlineStr">
        <is>
          <t>MAJOR</t>
        </is>
      </c>
      <c r="C4" s="2" t="inlineStr">
        <is>
          <t>Quick Gate timeout &gt;10 min on 50MB pack</t>
        </is>
      </c>
      <c r="D4" s="2" t="inlineStr">
        <is>
          <t>ASSIGNED</t>
        </is>
      </c>
      <c r="E4" s="2" t="inlineStr">
        <is>
          <t>Performance</t>
        </is>
      </c>
    </row>
    <row r="5">
      <c r="A5" s="2" t="inlineStr">
        <is>
          <t>BUG-004</t>
        </is>
      </c>
      <c r="B5" s="2" t="inlineStr">
        <is>
          <t>MAJOR</t>
        </is>
      </c>
      <c r="C5" s="2" t="inlineStr">
        <is>
          <t>Classification tier redaction incomplete</t>
        </is>
      </c>
      <c r="D5" s="2" t="inlineStr">
        <is>
          <t>FIXED</t>
        </is>
      </c>
      <c r="E5" s="2" t="inlineStr">
        <is>
          <t>Security</t>
        </is>
      </c>
    </row>
    <row r="6">
      <c r="A6" s="2" t="inlineStr">
        <is>
          <t>BUG-005</t>
        </is>
      </c>
      <c r="B6" s="2" t="inlineStr">
        <is>
          <t>MAJOR</t>
        </is>
      </c>
      <c r="C6" s="2" t="inlineStr">
        <is>
          <t>Audit ledger missing override events</t>
        </is>
      </c>
      <c r="D6" s="2" t="inlineStr">
        <is>
          <t>IN PROGRESS</t>
        </is>
      </c>
      <c r="E6" s="2" t="inlineStr">
        <is>
          <t>Audit Ledger</t>
        </is>
      </c>
    </row>
    <row r="7">
      <c r="A7" s="2" t="inlineStr">
        <is>
          <t>BUG-006</t>
        </is>
      </c>
      <c r="B7" s="2" t="inlineStr">
        <is>
          <t>MINOR</t>
        </is>
      </c>
      <c r="C7" s="2" t="inlineStr">
        <is>
          <t>UI contrast ratio fails WCAG AA</t>
        </is>
      </c>
      <c r="D7" s="2" t="inlineStr">
        <is>
          <t>BACKLOG</t>
        </is>
      </c>
      <c r="E7" s="2" t="inlineStr">
        <is>
          <t>UI/UX</t>
        </is>
      </c>
    </row>
    <row r="8">
      <c r="A8" s="2" t="inlineStr">
        <is>
          <t>BUG-007</t>
        </is>
      </c>
      <c r="B8" s="2" t="inlineStr">
        <is>
          <t>MINOR</t>
        </is>
      </c>
      <c r="C8" s="2" t="inlineStr">
        <is>
          <t>Tooltip missing for novice users</t>
        </is>
      </c>
      <c r="D8" s="2" t="inlineStr">
        <is>
          <t>BACKLOG</t>
        </is>
      </c>
      <c r="E8" s="2" t="inlineStr">
        <is>
          <t>Accessibility</t>
        </is>
      </c>
    </row>
    <row r="9">
      <c r="A9" s="2" t="inlineStr">
        <is>
          <t>BUG-008</t>
        </is>
      </c>
      <c r="B9" s="2" t="inlineStr">
        <is>
          <t>MINOR</t>
        </is>
      </c>
      <c r="C9" s="2" t="inlineStr">
        <is>
          <t>Case export PDF date format inconsistent</t>
        </is>
      </c>
      <c r="D9" s="2" t="inlineStr">
        <is>
          <t>BACKLOG</t>
        </is>
      </c>
      <c r="E9" s="2" t="inlineStr">
        <is>
          <t>Export</t>
        </is>
      </c>
    </row>
    <row r="10">
      <c r="A10" s="2" t="inlineStr">
        <is>
          <t>BUG-009</t>
        </is>
      </c>
      <c r="B10" s="2" t="inlineStr">
        <is>
          <t>CRITICAL</t>
        </is>
      </c>
      <c r="C10" s="2" t="inlineStr">
        <is>
          <t>Decision-record signature verification fails</t>
        </is>
      </c>
      <c r="D10" s="2" t="inlineStr">
        <is>
          <t>FIXED</t>
        </is>
      </c>
      <c r="E10" s="2" t="inlineStr">
        <is>
          <t>Compliance</t>
        </is>
      </c>
    </row>
    <row r="11">
      <c r="A11" s="2" t="inlineStr">
        <is>
          <t>BUG-010</t>
        </is>
      </c>
      <c r="B11" s="2" t="inlineStr">
        <is>
          <t>MAJOR</t>
        </is>
      </c>
      <c r="C11" s="2" t="inlineStr">
        <is>
          <t>IdP session timeout not enforced</t>
        </is>
      </c>
      <c r="D11" s="2" t="inlineStr">
        <is>
          <t>ASSIGNED</t>
        </is>
      </c>
      <c r="E11" s="2" t="inlineStr">
        <is>
          <t>Security</t>
        </is>
      </c>
    </row>
    <row r="12">
      <c r="A12" s="2" t="n"/>
      <c r="B12" s="2" t="n"/>
      <c r="C12" s="2" t="n"/>
      <c r="D12" s="2" t="n"/>
      <c r="E12" s="2" t="n"/>
    </row>
    <row r="13">
      <c r="A13" s="2" t="inlineStr">
        <is>
          <t>CRITICAL</t>
        </is>
      </c>
      <c r="B13" s="2">
        <f>COUNTIF(B2:B11,"CRITICAL")</f>
        <v/>
      </c>
      <c r="C13" s="2" t="n"/>
      <c r="D13" s="2" t="n"/>
      <c r="E13" s="2" t="n"/>
    </row>
    <row r="14">
      <c r="A14" s="2" t="inlineStr">
        <is>
          <t>MAJOR</t>
        </is>
      </c>
      <c r="B14" s="2">
        <f>COUNTIF(B2:B11,"MAJOR")</f>
        <v/>
      </c>
      <c r="C14" s="2" t="n"/>
      <c r="D14" s="2" t="n"/>
      <c r="E14" s="2" t="n"/>
    </row>
    <row r="15">
      <c r="A15" s="2" t="inlineStr">
        <is>
          <t>MINOR</t>
        </is>
      </c>
      <c r="B15" s="2">
        <f>COUNTIF(B2:B11,"MINOR")</f>
        <v/>
      </c>
      <c r="C15" s="2" t="n"/>
      <c r="D15" s="2" t="n"/>
      <c r="E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2026-04-23T14:12:32Z</dcterms:created>
  <dcterms:modified xmlns:dcterms="http://purl.org/dc/terms/" xmlns:xsi="http://www.w3.org/2001/XMLSchema-instance" xsi:type="dcterms:W3CDTF">2026-04-23T14:12:32Z</dcterms:modified>
</cp:coreProperties>
</file>